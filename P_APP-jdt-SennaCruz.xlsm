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ylow\Downloads\secured_webshop\"/>
    </mc:Choice>
  </mc:AlternateContent>
  <xr:revisionPtr revIDLastSave="0" documentId="13_ncr:1_{CD951884-DFC0-43CC-9BC4-3E9EDCF7B3B6}" xr6:coauthVersionLast="47" xr6:coauthVersionMax="47" xr10:uidLastSave="{00000000-0000-0000-0000-000000000000}"/>
  <bookViews>
    <workbookView xWindow="-25320" yWindow="330" windowWidth="25440" windowHeight="152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<sst xmlns="http://schemas.openxmlformats.org/spreadsheetml/2006/main" count="132" uniqueCount="46">
  <si>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</si>
  <si>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</si>
  <si>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</si>
  <si>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</si>
  <si>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</si>
  <si>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</si>
  <si>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</si>
  <si>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</si>
  <si>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</si>
  <si>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</si>
  <si>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</si>
  <si>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</si>
  <si>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</si>
  <si>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</si>
  <si>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</si>
  <si>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</si>
  <si>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</si>
  <si>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</si>
  <si>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</si>
  <si>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</si>
  <si>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</si>
  <si>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</si>
  <si>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</si>
  <si>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</si>
  <si>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P_APP-183</t>
  </si>
  <si>
    <t>Senna Cruz</t>
  </si>
  <si>
    <t>CID2A</t>
  </si>
  <si>
    <t>Lausanne - Vennes (B11)</t>
  </si>
  <si>
    <t>13.01.2025</t>
  </si>
  <si>
    <t>14.03.2025</t>
  </si>
  <si>
    <t>Max. 9</t>
  </si>
  <si>
    <t>STOP</t>
  </si>
  <si>
    <t>Documentation</t>
  </si>
  <si>
    <t>Implémentation</t>
  </si>
  <si>
    <t>Compréhension des objectifs du projet et du travail à effectuer.</t>
  </si>
  <si>
    <t>Page d'authentification et d'inscription</t>
  </si>
  <si>
    <t>Page d'utilisateur</t>
  </si>
  <si>
    <t>Rapport</t>
  </si>
  <si>
    <t>Base de données</t>
  </si>
  <si>
    <t>Page d'utilisateur + admin</t>
  </si>
  <si>
    <t>Routes</t>
  </si>
  <si>
    <t>Tokens et certificat</t>
  </si>
  <si>
    <t>Système d'inscription</t>
  </si>
  <si>
    <t>Système d'inscription + authentification</t>
  </si>
  <si>
    <t>hashage + sel</t>
  </si>
  <si>
    <t>Pages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</si>
</sst>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2" sqref="C22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 t="s">
        <v>28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 t="s">
        <v>29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8" t="s">
        <v>19</v>
      </c>
      <c r="C19" s="8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32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3478-8D80-4E48-80DD-5261B8F9B6D4}">
  <sheetPr codeName="Feuil9"/>
  <dimension ref="A1:H153"/>
  <sheetViews>
    <sheetView tabSelected="1" topLeftCell="A116" workbookViewId="0">
      <selection activeCell="C139" sqref="C139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 t="str">
        <f>Donnees!$C$9</f>
        <v>13.01.2025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32</v>
      </c>
      <c r="B3" s="4">
        <v>8</v>
      </c>
      <c r="C3" s="92" t="s">
        <v>34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8</v>
      </c>
      <c r="C18" s="86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 t="e">
        <f>$D$1+7</f>
        <v>#VALUE!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7</v>
      </c>
      <c r="C22" s="92" t="s">
        <v>35</v>
      </c>
      <c r="D22" s="9"/>
    </row>
    <row r="23" spans="1:8" x14ac:dyDescent="0.25">
      <c r="A23" s="1" t="s">
        <v>33</v>
      </c>
      <c r="B23" s="2">
        <v>1</v>
      </c>
      <c r="C23" s="93" t="s">
        <v>36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8</v>
      </c>
      <c r="C37" s="86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 t="e">
        <f>$D$20+7</f>
        <v>#VALUE!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2</v>
      </c>
      <c r="C41" s="92" t="s">
        <v>38</v>
      </c>
      <c r="D41" s="9"/>
    </row>
    <row r="42" spans="1:8" x14ac:dyDescent="0.25">
      <c r="A42" s="1" t="s">
        <v>33</v>
      </c>
      <c r="B42" s="2">
        <v>4</v>
      </c>
      <c r="C42" s="93" t="s">
        <v>39</v>
      </c>
      <c r="D42" s="10"/>
    </row>
    <row r="43" spans="1:8" x14ac:dyDescent="0.25">
      <c r="A43" s="1" t="s">
        <v>33</v>
      </c>
      <c r="B43" s="2">
        <v>3</v>
      </c>
      <c r="C43" s="93" t="s">
        <v>40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 t="e">
        <f>$D$39+7</f>
        <v>#VALUE!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4</v>
      </c>
      <c r="C60" s="92" t="s">
        <v>41</v>
      </c>
      <c r="D60" s="9"/>
    </row>
    <row r="61" spans="1:4" x14ac:dyDescent="0.25">
      <c r="A61" s="1" t="s">
        <v>33</v>
      </c>
      <c r="B61" s="2">
        <v>5</v>
      </c>
      <c r="C61" s="93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 t="e">
        <f>$D$58+7</f>
        <v>#VALUE!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9</v>
      </c>
      <c r="C79" s="92" t="s">
        <v>43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 t="e">
        <f>$D$77+7</f>
        <v>#VALUE!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3</v>
      </c>
      <c r="C98" s="92" t="s">
        <v>43</v>
      </c>
      <c r="D98" s="9"/>
    </row>
    <row r="99" spans="1:4" x14ac:dyDescent="0.25">
      <c r="A99" s="1" t="s">
        <v>33</v>
      </c>
      <c r="B99" s="2">
        <v>6</v>
      </c>
      <c r="C99" s="93" t="s">
        <v>44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6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 t="e">
        <f>$D$96+7</f>
        <v>#VALUE!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33</v>
      </c>
      <c r="B117" s="4">
        <v>4</v>
      </c>
      <c r="C117" s="92" t="s">
        <v>45</v>
      </c>
      <c r="D117" s="9"/>
    </row>
    <row r="118" spans="1:4" x14ac:dyDescent="0.25">
      <c r="A118" s="1" t="s">
        <v>33</v>
      </c>
      <c r="B118" s="2">
        <v>5</v>
      </c>
      <c r="C118" s="93" t="s">
        <v>44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 t="e">
        <f>$D$115+7</f>
        <v>#VALUE!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32</v>
      </c>
      <c r="B136" s="4">
        <v>9</v>
      </c>
      <c r="C136" s="92" t="s">
        <v>37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1297FDB-C0CB-43B8-AD0F-DCEC2374077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36:B150 B117:B131" xr:uid="{12E754AC-35C7-44BB-8239-3BDDB636C2E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BF7B8E3A-57BB-494B-937E-2B2D84AEC3E5}">
      <formula1>0</formula1>
      <formula2>NbPerWeek * NbQuartPer</formula2>
    </dataValidation>
    <dataValidation type="list" allowBlank="1" showInputMessage="1" showErrorMessage="1" sqref="A3:A17 A22:A36 A41:A55 A60:A74 A79:A93 A98:A112 A136:A150 A117:A131" xr:uid="{B889EF83-78FC-4FC4-B90A-82202333087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hanes cruise</dc:creator>
  <cp:lastModifiedBy>hanes cruise</cp:lastModifiedBy>
  <cp:lastPrinted>2013-08-29T11:33:15Z</cp:lastPrinted>
  <dcterms:created xsi:type="dcterms:W3CDTF">1996-10-21T11:03:58Z</dcterms:created>
  <dcterms:modified xsi:type="dcterms:W3CDTF">2025-03-14T22:23:46Z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